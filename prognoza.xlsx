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inga\Downloads\GitHub\prognozowanie\excel\"/>
    </mc:Choice>
  </mc:AlternateContent>
  <xr:revisionPtr revIDLastSave="0" documentId="8_{A637AEDB-85F4-4184-9421-0DEF767CB48E}" xr6:coauthVersionLast="47" xr6:coauthVersionMax="47" xr10:uidLastSave="{00000000-0000-0000-0000-000000000000}"/>
  <bookViews>
    <workbookView xWindow="-108" yWindow="-108" windowWidth="23256" windowHeight="12456" xr2:uid="{5B763A17-C9B3-5E42-BEC5-EAEF828DA3CB}"/>
  </bookViews>
  <sheets>
    <sheet name="dane, prognoza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8" l="1"/>
  <c r="R24" i="8"/>
  <c r="O28" i="8"/>
  <c r="N28" i="8"/>
  <c r="N24" i="8"/>
  <c r="N26" i="8"/>
  <c r="B54" i="8"/>
  <c r="B52" i="8" a="1"/>
  <c r="B52" i="8" s="1"/>
  <c r="B50" i="8" a="1"/>
  <c r="B50" i="8" s="1"/>
  <c r="B44" i="8" a="1"/>
  <c r="B44" i="8" s="1"/>
  <c r="B38" i="8" a="1"/>
  <c r="B38" i="8" s="1"/>
  <c r="K26" i="8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<sst xmlns="http://schemas.openxmlformats.org/spreadsheetml/2006/main" count="87" uniqueCount="79">
  <si>
    <t>Data</t>
  </si>
  <si>
    <t>2016 I</t>
  </si>
  <si>
    <t>2016 II</t>
  </si>
  <si>
    <t>2016 III</t>
  </si>
  <si>
    <t>2016 IV</t>
  </si>
  <si>
    <t>2017 I</t>
  </si>
  <si>
    <t>2017 II</t>
  </si>
  <si>
    <t>2017 III</t>
  </si>
  <si>
    <t>2017 IV</t>
  </si>
  <si>
    <t>2018 I</t>
  </si>
  <si>
    <t>2018 II</t>
  </si>
  <si>
    <t>2018 III</t>
  </si>
  <si>
    <t>2018 IV</t>
  </si>
  <si>
    <t>2019 I</t>
  </si>
  <si>
    <t>2019 II</t>
  </si>
  <si>
    <t>2019 III</t>
  </si>
  <si>
    <t>2019 IV</t>
  </si>
  <si>
    <t>2020 I</t>
  </si>
  <si>
    <t>2020 II</t>
  </si>
  <si>
    <t>2020 III</t>
  </si>
  <si>
    <t>2020 IV</t>
  </si>
  <si>
    <t>2021 I</t>
  </si>
  <si>
    <t>2021 II</t>
  </si>
  <si>
    <t>2021 III</t>
  </si>
  <si>
    <t>2021 IV</t>
  </si>
  <si>
    <t>2022 I</t>
  </si>
  <si>
    <t>2022 II</t>
  </si>
  <si>
    <t>2022 III</t>
  </si>
  <si>
    <t>2022 IV</t>
  </si>
  <si>
    <t>2023 I</t>
  </si>
  <si>
    <t>2023 II</t>
  </si>
  <si>
    <t>2023 III</t>
  </si>
  <si>
    <t>2023 IV</t>
  </si>
  <si>
    <t>2024 I</t>
  </si>
  <si>
    <t>Y</t>
  </si>
  <si>
    <t>PODSUMOWANIE - WYJŚCIE</t>
  </si>
  <si>
    <t>Statystyki regresji</t>
  </si>
  <si>
    <t>Wielokrotność R</t>
  </si>
  <si>
    <t>R kwadrat</t>
  </si>
  <si>
    <t>Dopasowany R kwadrat</t>
  </si>
  <si>
    <t>Błąd standardowy</t>
  </si>
  <si>
    <t>Obserwacje</t>
  </si>
  <si>
    <t>ANALIZA WARIANCJI</t>
  </si>
  <si>
    <t>Regresja</t>
  </si>
  <si>
    <t>Resztkowy</t>
  </si>
  <si>
    <t>Razem</t>
  </si>
  <si>
    <t>Przecięcie</t>
  </si>
  <si>
    <t>df</t>
  </si>
  <si>
    <t>SS</t>
  </si>
  <si>
    <t>MS</t>
  </si>
  <si>
    <t>F</t>
  </si>
  <si>
    <t>Istotność F</t>
  </si>
  <si>
    <t>Współczynniki</t>
  </si>
  <si>
    <t>t Stat</t>
  </si>
  <si>
    <t>Wartość-p</t>
  </si>
  <si>
    <t>Dolne 95%</t>
  </si>
  <si>
    <t>Górne 95%</t>
  </si>
  <si>
    <t>Dolne 95,0%</t>
  </si>
  <si>
    <t>Górne 95,0%</t>
  </si>
  <si>
    <t>Z1</t>
  </si>
  <si>
    <t>Z2</t>
  </si>
  <si>
    <t>Z3</t>
  </si>
  <si>
    <t>X</t>
  </si>
  <si>
    <t>Prognoza punktowa:</t>
  </si>
  <si>
    <t>Prognoza przedziałowa:</t>
  </si>
  <si>
    <t>X_T</t>
  </si>
  <si>
    <t>X^T X</t>
  </si>
  <si>
    <t>(X^T X)^(-1)</t>
  </si>
  <si>
    <t>X_T*(X^T X)^(-1)</t>
  </si>
  <si>
    <t>X_T*(X^T X)^(-1)*(X_T)^T</t>
  </si>
  <si>
    <t>(1+X_T*(X^T X)^(-1)*(X_T)^T)*Se^2</t>
  </si>
  <si>
    <t xml:space="preserve">V T = </t>
  </si>
  <si>
    <t>t* =</t>
  </si>
  <si>
    <t>Przedział:</t>
  </si>
  <si>
    <t xml:space="preserve">EX ANTE = </t>
  </si>
  <si>
    <t xml:space="preserve">V T* = </t>
  </si>
  <si>
    <t xml:space="preserve">EX POST = </t>
  </si>
  <si>
    <t xml:space="preserve">MAPE = </t>
  </si>
  <si>
    <t>Obliczenia: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</si>
</sst>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%"/>
    <numFmt numFmtId="165" formatCode="0.000000%"/>
  </numFmts>
  <fonts count="6" x14ac:knownFonts="1">
    <font>
      <sz val="12"/>
      <color theme="1"/>
      <name val="Aptos Narrow"/>
      <family val="2"/>
      <charset val="238"/>
      <scheme val="minor"/>
    </font>
    <font>
      <sz val="11"/>
      <color rgb="FF000000"/>
      <name val="Calibri"/>
      <family val="2"/>
    </font>
    <font>
      <sz val="12"/>
      <name val="Arial CE"/>
    </font>
    <font>
      <i/>
      <sz val="12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1" fillId="2" borderId="1">
      <alignment horizontal="left" vertical="center" wrapText="1"/>
    </xf>
    <xf numFmtId="9" fontId="4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2" xfId="0" applyBorder="1"/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Continuous"/>
    </xf>
    <xf numFmtId="2" fontId="0" fillId="0" borderId="0" xfId="0" applyNumberFormat="1"/>
    <xf numFmtId="164" fontId="0" fillId="0" borderId="0" xfId="4" applyNumberFormat="1" applyFont="1"/>
    <xf numFmtId="165" fontId="0" fillId="0" borderId="0" xfId="4" applyNumberFormat="1" applyFont="1"/>
    <xf numFmtId="0" fontId="0" fillId="3" borderId="0" xfId="0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/>
    <xf numFmtId="0" fontId="5" fillId="3" borderId="0" xfId="0" applyFont="1" applyFill="1" applyAlignment="1">
      <alignment horizontal="right"/>
    </xf>
    <xf numFmtId="0" fontId="5" fillId="0" borderId="0" xfId="0" applyFont="1"/>
  </cellXfs>
  <cellStyles count="5">
    <cellStyle name="Kolumna" xfId="3" xr:uid="{1E101ED7-7E32-D94D-8A42-795CE4AC2BBD}"/>
    <cellStyle name="Normalny" xfId="0" builtinId="0"/>
    <cellStyle name="Normalny 2" xfId="1" xr:uid="{84599A88-1A51-A24F-B5A6-22676E36CC40}"/>
    <cellStyle name="Normalny 3" xfId="2" xr:uid="{A4CF36E4-C0A1-4548-8473-0C2FC730919B}"/>
    <cellStyle name="Procentowy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DAEDD-5A99-8046-A57C-96B948ADF612}">
  <dimension ref="A1:R64"/>
  <sheetViews>
    <sheetView tabSelected="1" topLeftCell="A28" zoomScale="83" workbookViewId="0">
      <selection activeCell="D34" sqref="D34"/>
    </sheetView>
  </sheetViews>
  <sheetFormatPr defaultColWidth="11.19921875" defaultRowHeight="15.6" x14ac:dyDescent="0.3"/>
  <cols>
    <col min="1" max="1" width="29.796875" customWidth="1"/>
    <col min="2" max="6" width="11" bestFit="1" customWidth="1"/>
    <col min="10" max="10" width="16.296875" customWidth="1"/>
    <col min="11" max="11" width="11.796875" bestFit="1" customWidth="1"/>
    <col min="12" max="12" width="11.19921875" bestFit="1" customWidth="1"/>
    <col min="13" max="13" width="12.19921875" bestFit="1" customWidth="1"/>
    <col min="14" max="18" width="11" bestFit="1" customWidth="1"/>
  </cols>
  <sheetData>
    <row r="1" spans="1:18" x14ac:dyDescent="0.3">
      <c r="A1" s="10" t="s">
        <v>0</v>
      </c>
      <c r="B1" s="10" t="s">
        <v>34</v>
      </c>
      <c r="C1" s="10" t="s">
        <v>62</v>
      </c>
      <c r="D1" s="10" t="s">
        <v>59</v>
      </c>
      <c r="E1" s="10" t="s">
        <v>60</v>
      </c>
      <c r="F1" s="10" t="s">
        <v>61</v>
      </c>
      <c r="J1" t="s">
        <v>35</v>
      </c>
    </row>
    <row r="2" spans="1:18" ht="16.2" thickBot="1" x14ac:dyDescent="0.35">
      <c r="A2" s="1" t="s">
        <v>1</v>
      </c>
      <c r="B2" s="2">
        <v>37423</v>
      </c>
      <c r="C2" s="1">
        <v>2384.1</v>
      </c>
      <c r="D2" s="1">
        <v>1</v>
      </c>
      <c r="E2" s="1">
        <v>0</v>
      </c>
      <c r="F2" s="1">
        <v>0</v>
      </c>
    </row>
    <row r="3" spans="1:18" x14ac:dyDescent="0.3">
      <c r="A3" s="1" t="s">
        <v>2</v>
      </c>
      <c r="B3" s="2">
        <v>36318</v>
      </c>
      <c r="C3" s="1">
        <v>3008.2999999999997</v>
      </c>
      <c r="D3" s="1">
        <v>0</v>
      </c>
      <c r="E3" s="1">
        <v>1</v>
      </c>
      <c r="F3" s="1">
        <v>0</v>
      </c>
      <c r="J3" s="5" t="s">
        <v>36</v>
      </c>
      <c r="K3" s="5"/>
    </row>
    <row r="4" spans="1:18" x14ac:dyDescent="0.3">
      <c r="A4" s="1" t="s">
        <v>3</v>
      </c>
      <c r="B4" s="2">
        <v>38276</v>
      </c>
      <c r="C4" s="1">
        <v>3410.8999999999996</v>
      </c>
      <c r="D4" s="1">
        <v>0</v>
      </c>
      <c r="E4" s="1">
        <v>0</v>
      </c>
      <c r="F4" s="1">
        <v>1</v>
      </c>
      <c r="J4" t="s">
        <v>37</v>
      </c>
      <c r="K4">
        <v>0.90000902306520991</v>
      </c>
    </row>
    <row r="5" spans="1:18" x14ac:dyDescent="0.3">
      <c r="A5" s="1" t="s">
        <v>4</v>
      </c>
      <c r="B5" s="2">
        <v>51308</v>
      </c>
      <c r="C5" s="1">
        <v>3711.6000000000004</v>
      </c>
      <c r="D5" s="1">
        <v>0</v>
      </c>
      <c r="E5" s="1">
        <v>0</v>
      </c>
      <c r="F5" s="1">
        <v>0</v>
      </c>
      <c r="J5" t="s">
        <v>38</v>
      </c>
      <c r="K5">
        <v>0.8100162415987936</v>
      </c>
    </row>
    <row r="6" spans="1:18" x14ac:dyDescent="0.3">
      <c r="A6" s="1" t="s">
        <v>5</v>
      </c>
      <c r="B6" s="2">
        <v>40503</v>
      </c>
      <c r="C6" s="1">
        <v>2704.1</v>
      </c>
      <c r="D6" s="1">
        <v>1</v>
      </c>
      <c r="E6" s="1">
        <v>0</v>
      </c>
      <c r="F6" s="1">
        <v>0</v>
      </c>
      <c r="J6" t="s">
        <v>39</v>
      </c>
      <c r="K6">
        <v>0.78187049961342958</v>
      </c>
    </row>
    <row r="7" spans="1:18" x14ac:dyDescent="0.3">
      <c r="A7" s="1" t="s">
        <v>6</v>
      </c>
      <c r="B7" s="2">
        <v>37783</v>
      </c>
      <c r="C7" s="1">
        <v>3399.1</v>
      </c>
      <c r="D7" s="1">
        <v>0</v>
      </c>
      <c r="E7" s="1">
        <v>1</v>
      </c>
      <c r="F7" s="1">
        <v>0</v>
      </c>
      <c r="J7" t="s">
        <v>40</v>
      </c>
      <c r="K7">
        <v>4280.9591426969546</v>
      </c>
    </row>
    <row r="8" spans="1:18" ht="16.2" thickBot="1" x14ac:dyDescent="0.35">
      <c r="A8" s="1" t="s">
        <v>7</v>
      </c>
      <c r="B8" s="2">
        <v>45948</v>
      </c>
      <c r="C8" s="1">
        <v>3997.7</v>
      </c>
      <c r="D8" s="1">
        <v>0</v>
      </c>
      <c r="E8" s="1">
        <v>0</v>
      </c>
      <c r="F8" s="1">
        <v>1</v>
      </c>
      <c r="J8" s="3" t="s">
        <v>41</v>
      </c>
      <c r="K8" s="3">
        <v>32</v>
      </c>
    </row>
    <row r="9" spans="1:18" x14ac:dyDescent="0.3">
      <c r="A9" s="1" t="s">
        <v>8</v>
      </c>
      <c r="B9" s="1">
        <v>54108</v>
      </c>
      <c r="C9" s="1">
        <v>4185.5</v>
      </c>
      <c r="D9" s="1">
        <v>0</v>
      </c>
      <c r="E9" s="1">
        <v>0</v>
      </c>
      <c r="F9" s="1">
        <v>0</v>
      </c>
    </row>
    <row r="10" spans="1:18" ht="16.2" thickBot="1" x14ac:dyDescent="0.35">
      <c r="A10" s="1" t="s">
        <v>9</v>
      </c>
      <c r="B10" s="1">
        <v>44634</v>
      </c>
      <c r="C10" s="1">
        <v>3193.4</v>
      </c>
      <c r="D10" s="1">
        <v>1</v>
      </c>
      <c r="E10" s="1">
        <v>0</v>
      </c>
      <c r="F10" s="1">
        <v>0</v>
      </c>
      <c r="J10" t="s">
        <v>42</v>
      </c>
    </row>
    <row r="11" spans="1:18" x14ac:dyDescent="0.3">
      <c r="A11" s="1" t="s">
        <v>10</v>
      </c>
      <c r="B11" s="1">
        <v>38152</v>
      </c>
      <c r="C11" s="1">
        <v>4254.7000000000007</v>
      </c>
      <c r="D11" s="1">
        <v>0</v>
      </c>
      <c r="E11" s="1">
        <v>1</v>
      </c>
      <c r="F11" s="1">
        <v>0</v>
      </c>
      <c r="J11" s="4"/>
      <c r="K11" s="4" t="s">
        <v>47</v>
      </c>
      <c r="L11" s="4" t="s">
        <v>48</v>
      </c>
      <c r="M11" s="4" t="s">
        <v>49</v>
      </c>
      <c r="N11" s="4" t="s">
        <v>50</v>
      </c>
      <c r="O11" s="4" t="s">
        <v>51</v>
      </c>
    </row>
    <row r="12" spans="1:18" x14ac:dyDescent="0.3">
      <c r="A12" s="1" t="s">
        <v>11</v>
      </c>
      <c r="B12" s="1">
        <v>46966</v>
      </c>
      <c r="C12" s="1">
        <v>4022.6999999999989</v>
      </c>
      <c r="D12" s="1">
        <v>0</v>
      </c>
      <c r="E12" s="1">
        <v>0</v>
      </c>
      <c r="F12" s="1">
        <v>1</v>
      </c>
      <c r="J12" t="s">
        <v>43</v>
      </c>
      <c r="K12">
        <v>4</v>
      </c>
      <c r="L12">
        <v>2109712043.5698526</v>
      </c>
      <c r="M12">
        <v>527428010.89246315</v>
      </c>
      <c r="N12">
        <v>28.779352913133739</v>
      </c>
      <c r="O12">
        <v>2.1852584780127393E-9</v>
      </c>
    </row>
    <row r="13" spans="1:18" x14ac:dyDescent="0.3">
      <c r="A13" s="1" t="s">
        <v>12</v>
      </c>
      <c r="B13" s="1">
        <v>55311</v>
      </c>
      <c r="C13" s="1">
        <v>5321.9000000000015</v>
      </c>
      <c r="D13" s="1">
        <v>0</v>
      </c>
      <c r="E13" s="1">
        <v>0</v>
      </c>
      <c r="F13" s="1">
        <v>0</v>
      </c>
      <c r="J13" t="s">
        <v>44</v>
      </c>
      <c r="K13">
        <v>27</v>
      </c>
      <c r="L13">
        <v>494818501.89889741</v>
      </c>
      <c r="M13">
        <v>18326611.181440644</v>
      </c>
    </row>
    <row r="14" spans="1:18" ht="16.2" thickBot="1" x14ac:dyDescent="0.35">
      <c r="A14" s="1" t="s">
        <v>13</v>
      </c>
      <c r="B14" s="1">
        <v>47417</v>
      </c>
      <c r="C14" s="1">
        <v>3628.9</v>
      </c>
      <c r="D14" s="1">
        <v>1</v>
      </c>
      <c r="E14" s="1">
        <v>0</v>
      </c>
      <c r="F14" s="1">
        <v>0</v>
      </c>
      <c r="J14" s="3" t="s">
        <v>45</v>
      </c>
      <c r="K14" s="3">
        <v>31</v>
      </c>
      <c r="L14" s="3">
        <v>2604530545.46875</v>
      </c>
      <c r="M14" s="3"/>
      <c r="N14" s="3"/>
      <c r="O14" s="3"/>
    </row>
    <row r="15" spans="1:18" ht="16.2" thickBot="1" x14ac:dyDescent="0.35">
      <c r="A15" s="1" t="s">
        <v>14</v>
      </c>
      <c r="B15" s="1">
        <v>47059</v>
      </c>
      <c r="C15" s="1">
        <v>4441.1000000000004</v>
      </c>
      <c r="D15" s="1">
        <v>0</v>
      </c>
      <c r="E15" s="1">
        <v>1</v>
      </c>
      <c r="F15" s="1">
        <v>0</v>
      </c>
    </row>
    <row r="16" spans="1:18" x14ac:dyDescent="0.3">
      <c r="A16" s="1" t="s">
        <v>15</v>
      </c>
      <c r="B16" s="1">
        <v>51240</v>
      </c>
      <c r="C16" s="1">
        <v>4888.6000000000004</v>
      </c>
      <c r="D16" s="1">
        <v>0</v>
      </c>
      <c r="E16" s="1">
        <v>0</v>
      </c>
      <c r="F16" s="1">
        <v>1</v>
      </c>
      <c r="J16" s="4"/>
      <c r="K16" s="4" t="s">
        <v>52</v>
      </c>
      <c r="L16" s="4" t="s">
        <v>40</v>
      </c>
      <c r="M16" s="4" t="s">
        <v>53</v>
      </c>
      <c r="N16" s="4" t="s">
        <v>54</v>
      </c>
      <c r="O16" s="4" t="s">
        <v>55</v>
      </c>
      <c r="P16" s="4" t="s">
        <v>56</v>
      </c>
      <c r="Q16" s="4" t="s">
        <v>57</v>
      </c>
      <c r="R16" s="4" t="s">
        <v>58</v>
      </c>
    </row>
    <row r="17" spans="1:18" x14ac:dyDescent="0.3">
      <c r="A17" s="1" t="s">
        <v>16</v>
      </c>
      <c r="B17" s="1">
        <v>61709</v>
      </c>
      <c r="C17" s="1">
        <v>5330.4</v>
      </c>
      <c r="D17" s="1">
        <v>0</v>
      </c>
      <c r="E17" s="1">
        <v>0</v>
      </c>
      <c r="F17" s="1">
        <v>0</v>
      </c>
      <c r="J17" t="s">
        <v>46</v>
      </c>
      <c r="K17">
        <v>33904.685119364825</v>
      </c>
      <c r="L17">
        <v>3939.0851987929786</v>
      </c>
      <c r="M17">
        <v>8.6072484874797723</v>
      </c>
      <c r="N17">
        <v>3.195690630260855E-9</v>
      </c>
      <c r="O17">
        <v>25822.349901465579</v>
      </c>
      <c r="P17">
        <v>41987.020337264075</v>
      </c>
      <c r="Q17">
        <v>25822.349901465579</v>
      </c>
      <c r="R17">
        <v>41987.020337264075</v>
      </c>
    </row>
    <row r="18" spans="1:18" x14ac:dyDescent="0.3">
      <c r="A18" s="1" t="s">
        <v>17</v>
      </c>
      <c r="B18" s="1">
        <v>49577</v>
      </c>
      <c r="C18" s="1">
        <v>4118.8</v>
      </c>
      <c r="D18" s="1">
        <v>1</v>
      </c>
      <c r="E18" s="1">
        <v>0</v>
      </c>
      <c r="F18" s="1">
        <v>0</v>
      </c>
      <c r="J18" t="s">
        <v>62</v>
      </c>
      <c r="K18">
        <v>4.7663297366404302</v>
      </c>
      <c r="L18">
        <v>0.63538631301481385</v>
      </c>
      <c r="M18">
        <v>7.5014674364402065</v>
      </c>
      <c r="N18">
        <v>4.5403105266936388E-8</v>
      </c>
      <c r="O18">
        <v>3.4626247098427401</v>
      </c>
      <c r="P18">
        <v>6.0700347634381204</v>
      </c>
      <c r="Q18">
        <v>3.4626247098427401</v>
      </c>
      <c r="R18">
        <v>6.0700347634381204</v>
      </c>
    </row>
    <row r="19" spans="1:18" x14ac:dyDescent="0.3">
      <c r="A19" s="1" t="s">
        <v>18</v>
      </c>
      <c r="B19" s="1">
        <v>47495</v>
      </c>
      <c r="C19" s="1">
        <v>4707.7</v>
      </c>
      <c r="D19" s="1">
        <v>0</v>
      </c>
      <c r="E19" s="1">
        <v>1</v>
      </c>
      <c r="F19" s="1">
        <v>0</v>
      </c>
      <c r="J19" t="s">
        <v>59</v>
      </c>
      <c r="K19">
        <v>-4676.9319688490605</v>
      </c>
      <c r="L19">
        <v>2435.5080406041056</v>
      </c>
      <c r="M19">
        <v>-1.9203106254943794</v>
      </c>
      <c r="N19">
        <v>6.5439699344591137E-2</v>
      </c>
      <c r="O19">
        <v>-9674.1816896936725</v>
      </c>
      <c r="P19">
        <v>320.31775199555079</v>
      </c>
      <c r="Q19">
        <v>-9674.1816896936725</v>
      </c>
      <c r="R19">
        <v>320.31775199555079</v>
      </c>
    </row>
    <row r="20" spans="1:18" x14ac:dyDescent="0.3">
      <c r="A20" s="1" t="s">
        <v>19</v>
      </c>
      <c r="B20" s="1">
        <v>59200</v>
      </c>
      <c r="C20" s="1">
        <v>4811</v>
      </c>
      <c r="D20" s="1">
        <v>0</v>
      </c>
      <c r="E20" s="1">
        <v>0</v>
      </c>
      <c r="F20" s="1">
        <v>1</v>
      </c>
      <c r="J20" t="s">
        <v>60</v>
      </c>
      <c r="K20">
        <v>-10373.861580305374</v>
      </c>
      <c r="L20">
        <v>2222.8123215078158</v>
      </c>
      <c r="M20">
        <v>-4.6669984145437891</v>
      </c>
      <c r="N20">
        <v>7.4535447371552052E-5</v>
      </c>
      <c r="O20">
        <v>-14934.695733983499</v>
      </c>
      <c r="P20">
        <v>-5813.027426627249</v>
      </c>
      <c r="Q20">
        <v>-14934.695733983499</v>
      </c>
      <c r="R20">
        <v>-5813.027426627249</v>
      </c>
    </row>
    <row r="21" spans="1:18" ht="16.2" thickBot="1" x14ac:dyDescent="0.35">
      <c r="A21" s="1" t="s">
        <v>20</v>
      </c>
      <c r="B21" s="1">
        <v>64559</v>
      </c>
      <c r="C21" s="1">
        <v>5860.0999999999985</v>
      </c>
      <c r="D21" s="1">
        <v>0</v>
      </c>
      <c r="E21" s="1">
        <v>0</v>
      </c>
      <c r="F21" s="1">
        <v>0</v>
      </c>
      <c r="J21" s="3" t="s">
        <v>61</v>
      </c>
      <c r="K21" s="3">
        <v>-6439.3850682522143</v>
      </c>
      <c r="L21" s="3">
        <v>2201.5153207095104</v>
      </c>
      <c r="M21" s="3">
        <v>-2.9249785398617671</v>
      </c>
      <c r="N21" s="3">
        <v>6.9001263148318051E-3</v>
      </c>
      <c r="O21" s="3">
        <v>-10956.521385782871</v>
      </c>
      <c r="P21" s="3">
        <v>-1922.2487507215571</v>
      </c>
      <c r="Q21" s="3">
        <v>-10956.521385782871</v>
      </c>
      <c r="R21" s="3">
        <v>-1922.2487507215571</v>
      </c>
    </row>
    <row r="22" spans="1:18" x14ac:dyDescent="0.3">
      <c r="A22" s="1" t="s">
        <v>21</v>
      </c>
      <c r="B22" s="1">
        <v>53066</v>
      </c>
      <c r="C22" s="1">
        <v>3844.7</v>
      </c>
      <c r="D22" s="1">
        <v>1</v>
      </c>
      <c r="E22" s="1">
        <v>0</v>
      </c>
      <c r="F22" s="1">
        <v>0</v>
      </c>
    </row>
    <row r="23" spans="1:18" x14ac:dyDescent="0.3">
      <c r="A23" s="1" t="s">
        <v>22</v>
      </c>
      <c r="B23" s="1">
        <v>52378</v>
      </c>
      <c r="C23" s="1">
        <v>5314.2</v>
      </c>
      <c r="D23" s="1">
        <v>0</v>
      </c>
      <c r="E23" s="1">
        <v>1</v>
      </c>
      <c r="F23" s="1">
        <v>0</v>
      </c>
    </row>
    <row r="24" spans="1:18" x14ac:dyDescent="0.3">
      <c r="A24" s="1" t="s">
        <v>23</v>
      </c>
      <c r="B24" s="1">
        <v>58652</v>
      </c>
      <c r="C24" s="1">
        <v>5524.5</v>
      </c>
      <c r="D24" s="1">
        <v>0</v>
      </c>
      <c r="E24" s="1">
        <v>0</v>
      </c>
      <c r="F24" s="1">
        <v>1</v>
      </c>
      <c r="J24" s="12" t="s">
        <v>63</v>
      </c>
      <c r="M24" s="14" t="s">
        <v>72</v>
      </c>
      <c r="N24">
        <f>_xlfn.T.INV.2T(0.05,K13)</f>
        <v>2.0518305164802859</v>
      </c>
      <c r="P24" s="14" t="s">
        <v>74</v>
      </c>
      <c r="Q24" s="14" t="s">
        <v>75</v>
      </c>
      <c r="R24" s="8">
        <f>N26/K26</f>
        <v>8.1976719432810277E-2</v>
      </c>
    </row>
    <row r="25" spans="1:18" x14ac:dyDescent="0.3">
      <c r="A25" s="1" t="s">
        <v>24</v>
      </c>
      <c r="B25" s="1">
        <v>70584</v>
      </c>
      <c r="C25" s="1">
        <v>6211.0000000000018</v>
      </c>
      <c r="D25" s="1">
        <v>0</v>
      </c>
      <c r="E25" s="1">
        <v>0</v>
      </c>
      <c r="F25" s="1">
        <v>0</v>
      </c>
      <c r="K25" s="1" t="s">
        <v>34</v>
      </c>
      <c r="P25" s="14" t="s">
        <v>76</v>
      </c>
      <c r="Q25" s="14" t="s">
        <v>77</v>
      </c>
      <c r="R25" s="7">
        <f>ABS((B35-K26)/B35)</f>
        <v>0.19202869632946556</v>
      </c>
    </row>
    <row r="26" spans="1:18" x14ac:dyDescent="0.3">
      <c r="A26" s="1" t="s">
        <v>25</v>
      </c>
      <c r="B26" s="1">
        <v>54667</v>
      </c>
      <c r="C26" s="1">
        <v>6049.8</v>
      </c>
      <c r="D26" s="1">
        <v>1</v>
      </c>
      <c r="E26" s="1">
        <v>0</v>
      </c>
      <c r="F26" s="1">
        <v>0</v>
      </c>
      <c r="J26" s="11" t="s">
        <v>33</v>
      </c>
      <c r="K26" s="6">
        <f>K17+K18*C35+K19*D35+K20*E35+K21*F35</f>
        <v>57672.732385812204</v>
      </c>
      <c r="M26" s="14" t="s">
        <v>71</v>
      </c>
      <c r="N26">
        <f>SQRT(B54)</f>
        <v>4727.8214017152777</v>
      </c>
    </row>
    <row r="27" spans="1:18" x14ac:dyDescent="0.3">
      <c r="A27" s="1" t="s">
        <v>26</v>
      </c>
      <c r="B27" s="1">
        <v>54528</v>
      </c>
      <c r="C27" s="1">
        <v>6816.9999999999991</v>
      </c>
      <c r="D27" s="1">
        <v>0</v>
      </c>
      <c r="E27" s="1">
        <v>1</v>
      </c>
      <c r="F27" s="1">
        <v>0</v>
      </c>
    </row>
    <row r="28" spans="1:18" x14ac:dyDescent="0.3">
      <c r="A28" s="1" t="s">
        <v>27</v>
      </c>
      <c r="B28" s="1">
        <v>57808</v>
      </c>
      <c r="C28" s="1">
        <v>6683.7999999999993</v>
      </c>
      <c r="D28" s="1">
        <v>0</v>
      </c>
      <c r="E28" s="1">
        <v>0</v>
      </c>
      <c r="F28" s="1">
        <v>1</v>
      </c>
      <c r="J28" s="12" t="s">
        <v>64</v>
      </c>
      <c r="M28" s="13" t="s">
        <v>73</v>
      </c>
      <c r="N28">
        <f>K26-N24*N26</f>
        <v>47972.044157304197</v>
      </c>
      <c r="O28">
        <f>K26+N24*N26</f>
        <v>67373.420614320217</v>
      </c>
    </row>
    <row r="29" spans="1:18" x14ac:dyDescent="0.3">
      <c r="A29" s="1" t="s">
        <v>28</v>
      </c>
      <c r="B29" s="1">
        <v>71487</v>
      </c>
      <c r="C29" s="1">
        <v>7482.6000000000022</v>
      </c>
      <c r="D29" s="1">
        <v>0</v>
      </c>
      <c r="E29" s="1">
        <v>0</v>
      </c>
      <c r="F29" s="1">
        <v>0</v>
      </c>
    </row>
    <row r="30" spans="1:18" x14ac:dyDescent="0.3">
      <c r="A30" s="1" t="s">
        <v>29</v>
      </c>
      <c r="B30" s="1">
        <v>55051</v>
      </c>
      <c r="C30" s="1">
        <v>5235.6000000000004</v>
      </c>
      <c r="D30" s="1">
        <v>1</v>
      </c>
      <c r="E30" s="1">
        <v>0</v>
      </c>
      <c r="F30" s="1">
        <v>0</v>
      </c>
      <c r="J30" s="11" t="s">
        <v>65</v>
      </c>
      <c r="K30" s="1">
        <v>1</v>
      </c>
      <c r="L30" s="1">
        <v>5967.9000000000015</v>
      </c>
      <c r="M30" s="1">
        <v>1</v>
      </c>
      <c r="N30" s="1">
        <v>0</v>
      </c>
      <c r="O30" s="1">
        <v>0</v>
      </c>
    </row>
    <row r="31" spans="1:18" x14ac:dyDescent="0.3">
      <c r="A31" s="1" t="s">
        <v>30</v>
      </c>
      <c r="B31" s="1">
        <v>56809</v>
      </c>
      <c r="C31" s="1">
        <v>6300.1999999999989</v>
      </c>
      <c r="D31" s="1">
        <v>0</v>
      </c>
      <c r="E31" s="1">
        <v>1</v>
      </c>
      <c r="F31" s="1">
        <v>0</v>
      </c>
      <c r="J31" s="1"/>
      <c r="K31" s="1"/>
      <c r="L31" s="1"/>
      <c r="M31" s="1"/>
      <c r="N31" s="1"/>
      <c r="O31" s="1"/>
    </row>
    <row r="32" spans="1:18" x14ac:dyDescent="0.3">
      <c r="A32" s="1" t="s">
        <v>31</v>
      </c>
      <c r="B32" s="1">
        <v>48983</v>
      </c>
      <c r="C32" s="1">
        <v>5967.9000000000015</v>
      </c>
      <c r="D32" s="1">
        <v>0</v>
      </c>
      <c r="E32" s="1">
        <v>0</v>
      </c>
      <c r="F32" s="1">
        <v>1</v>
      </c>
      <c r="J32" s="11" t="s">
        <v>62</v>
      </c>
      <c r="K32" s="1"/>
      <c r="L32" s="1"/>
      <c r="M32" s="1"/>
      <c r="N32" s="1"/>
      <c r="O32" s="1"/>
    </row>
    <row r="33" spans="1:15" x14ac:dyDescent="0.3">
      <c r="A33" s="1" t="s">
        <v>32</v>
      </c>
      <c r="B33" s="1">
        <v>60416</v>
      </c>
      <c r="C33" s="1">
        <v>7685.7000000000007</v>
      </c>
      <c r="D33" s="1">
        <v>0</v>
      </c>
      <c r="E33" s="1">
        <v>0</v>
      </c>
      <c r="F33" s="1">
        <v>0</v>
      </c>
      <c r="J33" s="1"/>
      <c r="K33" s="1">
        <v>1</v>
      </c>
      <c r="L33" s="1">
        <v>2384.1</v>
      </c>
      <c r="M33" s="1">
        <v>1</v>
      </c>
      <c r="N33" s="1">
        <v>0</v>
      </c>
      <c r="O33" s="1">
        <v>0</v>
      </c>
    </row>
    <row r="34" spans="1:15" x14ac:dyDescent="0.3">
      <c r="A34" s="9"/>
      <c r="B34" s="9"/>
      <c r="C34" s="9"/>
      <c r="D34" s="9"/>
      <c r="E34" s="9"/>
      <c r="F34" s="9"/>
      <c r="J34" s="1"/>
      <c r="K34" s="1">
        <v>1</v>
      </c>
      <c r="L34" s="1">
        <v>3008.2999999999997</v>
      </c>
      <c r="M34" s="1">
        <v>0</v>
      </c>
      <c r="N34" s="1">
        <v>1</v>
      </c>
      <c r="O34" s="1">
        <v>0</v>
      </c>
    </row>
    <row r="35" spans="1:15" x14ac:dyDescent="0.3">
      <c r="A35" s="11" t="s">
        <v>33</v>
      </c>
      <c r="B35" s="1">
        <v>48382</v>
      </c>
      <c r="C35" s="1">
        <v>5967.9000000000015</v>
      </c>
      <c r="D35" s="1">
        <v>1</v>
      </c>
      <c r="E35" s="1">
        <v>0</v>
      </c>
      <c r="F35" s="1">
        <v>0</v>
      </c>
      <c r="J35" s="1"/>
      <c r="K35" s="1">
        <v>1</v>
      </c>
      <c r="L35" s="1">
        <v>3410.8999999999996</v>
      </c>
      <c r="M35" s="1">
        <v>0</v>
      </c>
      <c r="N35" s="1">
        <v>0</v>
      </c>
      <c r="O35" s="1">
        <v>1</v>
      </c>
    </row>
    <row r="36" spans="1:15" x14ac:dyDescent="0.3">
      <c r="J36" s="1"/>
      <c r="K36" s="1">
        <v>1</v>
      </c>
      <c r="L36" s="1">
        <v>3711.6000000000004</v>
      </c>
      <c r="M36" s="1">
        <v>0</v>
      </c>
      <c r="N36" s="1">
        <v>0</v>
      </c>
      <c r="O36" s="1">
        <v>0</v>
      </c>
    </row>
    <row r="37" spans="1:15" x14ac:dyDescent="0.3">
      <c r="A37" s="10" t="s">
        <v>78</v>
      </c>
      <c r="J37" s="1"/>
      <c r="K37" s="1">
        <v>1</v>
      </c>
      <c r="L37" s="1">
        <v>2704.1</v>
      </c>
      <c r="M37" s="1">
        <v>1</v>
      </c>
      <c r="N37" s="1">
        <v>0</v>
      </c>
      <c r="O37" s="1">
        <v>0</v>
      </c>
    </row>
    <row r="38" spans="1:15" x14ac:dyDescent="0.3">
      <c r="A38" s="11" t="s">
        <v>66</v>
      </c>
      <c r="B38" cm="1">
        <f t="array" ref="B38:F42">MMULT(TRANSPOSE(K33:O64),K33:O64)</f>
        <v>32</v>
      </c>
      <c r="C38">
        <v>154497.60000000003</v>
      </c>
      <c r="D38">
        <v>8</v>
      </c>
      <c r="E38">
        <v>8</v>
      </c>
      <c r="F38">
        <v>8</v>
      </c>
      <c r="J38" s="1"/>
      <c r="K38" s="1">
        <v>1</v>
      </c>
      <c r="L38" s="1">
        <v>3399.1</v>
      </c>
      <c r="M38" s="1">
        <v>0</v>
      </c>
      <c r="N38" s="1">
        <v>1</v>
      </c>
      <c r="O38" s="1">
        <v>0</v>
      </c>
    </row>
    <row r="39" spans="1:15" x14ac:dyDescent="0.3">
      <c r="A39" s="11"/>
      <c r="B39">
        <v>154497.60000000003</v>
      </c>
      <c r="C39">
        <v>804775340.5799998</v>
      </c>
      <c r="D39">
        <v>31159.4</v>
      </c>
      <c r="E39">
        <v>38242.300000000003</v>
      </c>
      <c r="F39">
        <v>39307.1</v>
      </c>
      <c r="J39" s="1"/>
      <c r="K39" s="1">
        <v>1</v>
      </c>
      <c r="L39" s="1">
        <v>3997.7</v>
      </c>
      <c r="M39" s="1">
        <v>0</v>
      </c>
      <c r="N39" s="1">
        <v>0</v>
      </c>
      <c r="O39" s="1">
        <v>1</v>
      </c>
    </row>
    <row r="40" spans="1:15" x14ac:dyDescent="0.3">
      <c r="A40" s="11"/>
      <c r="B40">
        <v>8</v>
      </c>
      <c r="C40">
        <v>31159.4</v>
      </c>
      <c r="D40">
        <v>8</v>
      </c>
      <c r="E40">
        <v>0</v>
      </c>
      <c r="F40">
        <v>0</v>
      </c>
      <c r="J40" s="1"/>
      <c r="K40" s="1">
        <v>1</v>
      </c>
      <c r="L40" s="1">
        <v>4185.5</v>
      </c>
      <c r="M40" s="1">
        <v>0</v>
      </c>
      <c r="N40" s="1">
        <v>0</v>
      </c>
      <c r="O40" s="1">
        <v>0</v>
      </c>
    </row>
    <row r="41" spans="1:15" x14ac:dyDescent="0.3">
      <c r="A41" s="11"/>
      <c r="B41">
        <v>8</v>
      </c>
      <c r="C41">
        <v>38242.300000000003</v>
      </c>
      <c r="D41">
        <v>0</v>
      </c>
      <c r="E41">
        <v>8</v>
      </c>
      <c r="F41">
        <v>0</v>
      </c>
      <c r="J41" s="1"/>
      <c r="K41" s="1">
        <v>1</v>
      </c>
      <c r="L41" s="1">
        <v>3193.4</v>
      </c>
      <c r="M41" s="1">
        <v>1</v>
      </c>
      <c r="N41" s="1">
        <v>0</v>
      </c>
      <c r="O41" s="1">
        <v>0</v>
      </c>
    </row>
    <row r="42" spans="1:15" x14ac:dyDescent="0.3">
      <c r="A42" s="11"/>
      <c r="B42">
        <v>8</v>
      </c>
      <c r="C42">
        <v>39307.1</v>
      </c>
      <c r="D42">
        <v>0</v>
      </c>
      <c r="E42">
        <v>0</v>
      </c>
      <c r="F42">
        <v>8</v>
      </c>
      <c r="J42" s="1"/>
      <c r="K42" s="1">
        <v>1</v>
      </c>
      <c r="L42" s="1">
        <v>4254.7000000000007</v>
      </c>
      <c r="M42" s="1">
        <v>0</v>
      </c>
      <c r="N42" s="1">
        <v>1</v>
      </c>
      <c r="O42" s="1">
        <v>0</v>
      </c>
    </row>
    <row r="43" spans="1:15" x14ac:dyDescent="0.3">
      <c r="A43" s="11"/>
      <c r="J43" s="1"/>
      <c r="K43" s="1">
        <v>1</v>
      </c>
      <c r="L43" s="1">
        <v>4022.6999999999989</v>
      </c>
      <c r="M43" s="1">
        <v>0</v>
      </c>
      <c r="N43" s="1">
        <v>0</v>
      </c>
      <c r="O43" s="1">
        <v>1</v>
      </c>
    </row>
    <row r="44" spans="1:15" x14ac:dyDescent="0.3">
      <c r="A44" s="11" t="s">
        <v>67</v>
      </c>
      <c r="B44" cm="1">
        <f t="array" ref="B44:F48">MINVERSE(_xlfn.ANCHORARRAY(B38))</f>
        <v>0.84665910406084977</v>
      </c>
      <c r="C44">
        <v>-1.2608482494598671E-4</v>
      </c>
      <c r="D44">
        <v>-0.35556816725810264</v>
      </c>
      <c r="E44">
        <v>-0.24393739143186155</v>
      </c>
      <c r="F44">
        <v>-0.2271555012315509</v>
      </c>
      <c r="J44" s="1"/>
      <c r="K44" s="1">
        <v>1</v>
      </c>
      <c r="L44" s="1">
        <v>5321.9000000000015</v>
      </c>
      <c r="M44" s="1">
        <v>0</v>
      </c>
      <c r="N44" s="1">
        <v>0</v>
      </c>
      <c r="O44" s="1">
        <v>0</v>
      </c>
    </row>
    <row r="45" spans="1:15" x14ac:dyDescent="0.3">
      <c r="A45" s="11"/>
      <c r="B45">
        <v>-1.2608482494598668E-4</v>
      </c>
      <c r="C45">
        <v>2.2028937197915056E-8</v>
      </c>
      <c r="D45">
        <v>4.0283766730397387E-5</v>
      </c>
      <c r="E45">
        <v>2.0780171820508326E-5</v>
      </c>
      <c r="F45">
        <v>1.7848120279465854E-5</v>
      </c>
      <c r="J45" s="1"/>
      <c r="K45" s="1">
        <v>1</v>
      </c>
      <c r="L45" s="1">
        <v>3628.9</v>
      </c>
      <c r="M45" s="1">
        <v>1</v>
      </c>
      <c r="N45" s="1">
        <v>0</v>
      </c>
      <c r="O45" s="1">
        <v>0</v>
      </c>
    </row>
    <row r="46" spans="1:15" x14ac:dyDescent="0.3">
      <c r="A46" s="11"/>
      <c r="B46">
        <v>-0.35556816725810275</v>
      </c>
      <c r="C46">
        <v>4.0283766730397401E-5</v>
      </c>
      <c r="D46">
        <v>0.32366591712570958</v>
      </c>
      <c r="E46">
        <v>0.16300018070386818</v>
      </c>
      <c r="F46">
        <v>0.15763841135205234</v>
      </c>
      <c r="J46" s="1"/>
      <c r="K46" s="1">
        <v>1</v>
      </c>
      <c r="L46" s="1">
        <v>4441.1000000000004</v>
      </c>
      <c r="M46" s="1">
        <v>0</v>
      </c>
      <c r="N46" s="1">
        <v>1</v>
      </c>
      <c r="O46" s="1">
        <v>0</v>
      </c>
    </row>
    <row r="47" spans="1:15" x14ac:dyDescent="0.3">
      <c r="A47" s="11"/>
      <c r="B47">
        <v>-0.24393739143186158</v>
      </c>
      <c r="C47">
        <v>2.0780171820508329E-5</v>
      </c>
      <c r="D47">
        <v>0.16300018070386815</v>
      </c>
      <c r="E47">
        <v>0.26960219583043338</v>
      </c>
      <c r="F47">
        <v>0.14183635496112376</v>
      </c>
      <c r="J47" s="1"/>
      <c r="K47" s="1">
        <v>1</v>
      </c>
      <c r="L47" s="1">
        <v>4888.6000000000004</v>
      </c>
      <c r="M47" s="1">
        <v>0</v>
      </c>
      <c r="N47" s="1">
        <v>0</v>
      </c>
      <c r="O47" s="1">
        <v>1</v>
      </c>
    </row>
    <row r="48" spans="1:15" x14ac:dyDescent="0.3">
      <c r="A48" s="11"/>
      <c r="B48">
        <v>-0.22715550123155082</v>
      </c>
      <c r="C48">
        <v>1.7848120279465847E-5</v>
      </c>
      <c r="D48">
        <v>0.15763841135205228</v>
      </c>
      <c r="E48">
        <v>0.14183635496112373</v>
      </c>
      <c r="F48">
        <v>0.26446077015192687</v>
      </c>
      <c r="J48" s="1"/>
      <c r="K48" s="1">
        <v>1</v>
      </c>
      <c r="L48" s="1">
        <v>5330.4</v>
      </c>
      <c r="M48" s="1">
        <v>0</v>
      </c>
      <c r="N48" s="1">
        <v>0</v>
      </c>
      <c r="O48" s="1">
        <v>0</v>
      </c>
    </row>
    <row r="49" spans="1:15" x14ac:dyDescent="0.3">
      <c r="A49" s="11"/>
      <c r="J49" s="1"/>
      <c r="K49" s="1">
        <v>1</v>
      </c>
      <c r="L49" s="1">
        <v>4118.8</v>
      </c>
      <c r="M49" s="1">
        <v>1</v>
      </c>
      <c r="N49" s="1">
        <v>0</v>
      </c>
      <c r="O49" s="1">
        <v>0</v>
      </c>
    </row>
    <row r="50" spans="1:15" x14ac:dyDescent="0.3">
      <c r="A50" s="11" t="s">
        <v>68</v>
      </c>
      <c r="B50" cm="1">
        <f t="array" ref="B50:F50">MMULT(K30:O30,_xlfn.ANCHORARRAY(B44))</f>
        <v>-0.26137068999240703</v>
      </c>
      <c r="C50">
        <v>4.5665436087847993E-5</v>
      </c>
      <c r="D50">
        <v>0.20850724133794557</v>
      </c>
      <c r="E50">
        <v>4.3076776679618303E-2</v>
      </c>
      <c r="F50">
        <v>3.6998707136325734E-2</v>
      </c>
      <c r="J50" s="1"/>
      <c r="K50" s="1">
        <v>1</v>
      </c>
      <c r="L50" s="1">
        <v>4707.7</v>
      </c>
      <c r="M50" s="1">
        <v>0</v>
      </c>
      <c r="N50" s="1">
        <v>1</v>
      </c>
      <c r="O50" s="1">
        <v>0</v>
      </c>
    </row>
    <row r="51" spans="1:15" x14ac:dyDescent="0.3">
      <c r="A51" s="11"/>
      <c r="J51" s="1"/>
      <c r="K51" s="1">
        <v>1</v>
      </c>
      <c r="L51" s="1">
        <v>4811</v>
      </c>
      <c r="M51" s="1">
        <v>0</v>
      </c>
      <c r="N51" s="1">
        <v>0</v>
      </c>
      <c r="O51" s="1">
        <v>1</v>
      </c>
    </row>
    <row r="52" spans="1:15" x14ac:dyDescent="0.3">
      <c r="A52" s="11" t="s">
        <v>69</v>
      </c>
      <c r="B52" cm="1">
        <f t="array" ref="B52">MMULT(_xlfn.ANCHORARRAY(B50),TRANSPOSE(K30:O30))</f>
        <v>0.21966330737420664</v>
      </c>
      <c r="J52" s="1"/>
      <c r="K52" s="1">
        <v>1</v>
      </c>
      <c r="L52" s="1">
        <v>5860.0999999999985</v>
      </c>
      <c r="M52" s="1">
        <v>0</v>
      </c>
      <c r="N52" s="1">
        <v>0</v>
      </c>
      <c r="O52" s="1">
        <v>0</v>
      </c>
    </row>
    <row r="53" spans="1:15" x14ac:dyDescent="0.3">
      <c r="A53" s="11"/>
      <c r="J53" s="1"/>
      <c r="K53" s="1">
        <v>1</v>
      </c>
      <c r="L53" s="1">
        <v>3844.7</v>
      </c>
      <c r="M53" s="1">
        <v>1</v>
      </c>
      <c r="N53" s="1">
        <v>0</v>
      </c>
      <c r="O53" s="1">
        <v>0</v>
      </c>
    </row>
    <row r="54" spans="1:15" x14ac:dyDescent="0.3">
      <c r="A54" s="11" t="s">
        <v>70</v>
      </c>
      <c r="B54">
        <f>(1+B52)*K7^2</f>
        <v>22352295.206517015</v>
      </c>
      <c r="J54" s="1"/>
      <c r="K54" s="1">
        <v>1</v>
      </c>
      <c r="L54" s="1">
        <v>5314.2</v>
      </c>
      <c r="M54" s="1">
        <v>0</v>
      </c>
      <c r="N54" s="1">
        <v>1</v>
      </c>
      <c r="O54" s="1">
        <v>0</v>
      </c>
    </row>
    <row r="55" spans="1:15" x14ac:dyDescent="0.3">
      <c r="A55" s="14"/>
      <c r="J55" s="1"/>
      <c r="K55" s="1">
        <v>1</v>
      </c>
      <c r="L55" s="1">
        <v>5524.5</v>
      </c>
      <c r="M55" s="1">
        <v>0</v>
      </c>
      <c r="N55" s="1">
        <v>0</v>
      </c>
      <c r="O55" s="1">
        <v>1</v>
      </c>
    </row>
    <row r="56" spans="1:15" x14ac:dyDescent="0.3">
      <c r="J56" s="1"/>
      <c r="K56" s="1">
        <v>1</v>
      </c>
      <c r="L56" s="1">
        <v>6211.0000000000018</v>
      </c>
      <c r="M56" s="1">
        <v>0</v>
      </c>
      <c r="N56" s="1">
        <v>0</v>
      </c>
      <c r="O56" s="1">
        <v>0</v>
      </c>
    </row>
    <row r="57" spans="1:15" x14ac:dyDescent="0.3">
      <c r="J57" s="1"/>
      <c r="K57" s="1">
        <v>1</v>
      </c>
      <c r="L57" s="1">
        <v>6049.8</v>
      </c>
      <c r="M57" s="1">
        <v>1</v>
      </c>
      <c r="N57" s="1">
        <v>0</v>
      </c>
      <c r="O57" s="1">
        <v>0</v>
      </c>
    </row>
    <row r="58" spans="1:15" x14ac:dyDescent="0.3">
      <c r="J58" s="1"/>
      <c r="K58" s="1">
        <v>1</v>
      </c>
      <c r="L58" s="1">
        <v>6816.9999999999991</v>
      </c>
      <c r="M58" s="1">
        <v>0</v>
      </c>
      <c r="N58" s="1">
        <v>1</v>
      </c>
      <c r="O58" s="1">
        <v>0</v>
      </c>
    </row>
    <row r="59" spans="1:15" x14ac:dyDescent="0.3">
      <c r="J59" s="1"/>
      <c r="K59" s="1">
        <v>1</v>
      </c>
      <c r="L59" s="1">
        <v>6683.7999999999993</v>
      </c>
      <c r="M59" s="1">
        <v>0</v>
      </c>
      <c r="N59" s="1">
        <v>0</v>
      </c>
      <c r="O59" s="1">
        <v>1</v>
      </c>
    </row>
    <row r="60" spans="1:15" x14ac:dyDescent="0.3">
      <c r="J60" s="1"/>
      <c r="K60" s="1">
        <v>1</v>
      </c>
      <c r="L60" s="1">
        <v>7482.6000000000022</v>
      </c>
      <c r="M60" s="1">
        <v>0</v>
      </c>
      <c r="N60" s="1">
        <v>0</v>
      </c>
      <c r="O60" s="1">
        <v>0</v>
      </c>
    </row>
    <row r="61" spans="1:15" x14ac:dyDescent="0.3">
      <c r="J61" s="1"/>
      <c r="K61" s="1">
        <v>1</v>
      </c>
      <c r="L61" s="1">
        <v>5235.6000000000004</v>
      </c>
      <c r="M61" s="1">
        <v>1</v>
      </c>
      <c r="N61" s="1">
        <v>0</v>
      </c>
      <c r="O61" s="1">
        <v>0</v>
      </c>
    </row>
    <row r="62" spans="1:15" x14ac:dyDescent="0.3">
      <c r="J62" s="1"/>
      <c r="K62" s="1">
        <v>1</v>
      </c>
      <c r="L62" s="1">
        <v>6300.1999999999989</v>
      </c>
      <c r="M62" s="1">
        <v>0</v>
      </c>
      <c r="N62" s="1">
        <v>1</v>
      </c>
      <c r="O62" s="1">
        <v>0</v>
      </c>
    </row>
    <row r="63" spans="1:15" x14ac:dyDescent="0.3">
      <c r="J63" s="1"/>
      <c r="K63" s="1">
        <v>1</v>
      </c>
      <c r="L63" s="1">
        <v>5967.9000000000015</v>
      </c>
      <c r="M63" s="1">
        <v>0</v>
      </c>
      <c r="N63" s="1">
        <v>0</v>
      </c>
      <c r="O63" s="1">
        <v>1</v>
      </c>
    </row>
    <row r="64" spans="1:15" x14ac:dyDescent="0.3">
      <c r="J64" s="1"/>
      <c r="K64" s="1">
        <v>1</v>
      </c>
      <c r="L64" s="1">
        <v>7685.7000000000007</v>
      </c>
      <c r="M64" s="1">
        <v>0</v>
      </c>
      <c r="N64" s="1">
        <v>0</v>
      </c>
      <c r="O6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dane, prognoza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Franciszek Kotowski</dc:creator>
  <cp:lastModifiedBy>Kinga Gnidzińska</cp:lastModifiedBy>
  <dcterms:created xsi:type="dcterms:W3CDTF">2026-01-13T22:56:40Z</dcterms:created>
  <dcterms:modified xsi:type="dcterms:W3CDTF">2026-09-13T13:38:51Z</dcterms:modified>
</cp:coreProperties>
</file>